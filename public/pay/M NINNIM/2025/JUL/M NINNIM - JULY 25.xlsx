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07 JULY 2025/"/>
    </mc:Choice>
  </mc:AlternateContent>
  <xr:revisionPtr revIDLastSave="23" documentId="8_{EB282CFA-6271-4688-8EEA-3DAE268D9410}" xr6:coauthVersionLast="47" xr6:coauthVersionMax="47" xr10:uidLastSave="{C34DF18D-1C2A-496E-9E7E-25646E9B4A01}"/>
  <bookViews>
    <workbookView xWindow="-120" yWindow="-120" windowWidth="29040" windowHeight="15840" xr2:uid="{337C55DB-E91A-45E6-A736-B1311B441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3" i="1"/>
  <c r="F13" i="1"/>
  <c r="F8" i="1"/>
</calcChain>
</file>

<file path=xl/sharedStrings.xml><?xml version="1.0" encoding="utf-8"?>
<sst xmlns="http://schemas.openxmlformats.org/spreadsheetml/2006/main" count="36" uniqueCount="23">
  <si>
    <t>MARK NINNIM</t>
  </si>
  <si>
    <t>BPL003XMZ</t>
  </si>
  <si>
    <t>THE EXETER</t>
  </si>
  <si>
    <t>MR NICK PURCELL</t>
  </si>
  <si>
    <t>Lifestyle Cover Insurance</t>
  </si>
  <si>
    <t>GALSC0042864</t>
  </si>
  <si>
    <t>WESSEX</t>
  </si>
  <si>
    <t>Dolby</t>
  </si>
  <si>
    <t xml:space="preserve">Mark Ninnim </t>
  </si>
  <si>
    <t>P576197119-04</t>
  </si>
  <si>
    <t>AVIVA</t>
  </si>
  <si>
    <t>Farrell L</t>
  </si>
  <si>
    <t xml:space="preserve">MARK NINNIM </t>
  </si>
  <si>
    <t>Life cover</t>
  </si>
  <si>
    <t>Vitalitylife licence</t>
  </si>
  <si>
    <t>Mr M Ninnim</t>
  </si>
  <si>
    <t>Serious illness cover</t>
  </si>
  <si>
    <t>*80%</t>
  </si>
  <si>
    <t>L &amp; G</t>
  </si>
  <si>
    <t>MULTI</t>
  </si>
  <si>
    <t>TOTAL</t>
  </si>
  <si>
    <t>L REN</t>
  </si>
  <si>
    <t>CARRIED OVER FROM 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</si>
</sst>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2" fontId="0" fillId="0" borderId="1" xfId="1" applyNumberFormat="1" applyFont="1" applyFill="1" applyBorder="1" applyAlignment="1">
      <alignment horizontal="right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606E-8B15-4CB8-B1AD-9B27D78C976E}">
  <dimension ref="A1:J20"/>
  <sheetViews>
    <sheetView tabSelected="1" workbookViewId="0">
      <selection activeCell="H17" sqref="H17"/>
    </sheetView>
  </sheetViews>
  <sheetFormatPr defaultRowHeight="15" x14ac:dyDescent="0.25"/>
  <cols>
    <col min="1" max="1" width="14" bestFit="1" customWidth="1"/>
    <col min="2" max="2" width="23" bestFit="1" customWidth="1"/>
    <col min="3" max="3" width="14" bestFit="1" customWidth="1"/>
    <col min="4" max="4" width="16.5703125" bestFit="1" customWidth="1"/>
    <col min="5" max="5" width="16.42578125" bestFit="1" customWidth="1"/>
    <col min="6" max="6" width="13.7109375" bestFit="1" customWidth="1"/>
  </cols>
  <sheetData>
    <row r="1" spans="1:10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2">
        <v>1</v>
      </c>
    </row>
    <row r="2" spans="1:10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3">
        <v>3.99</v>
      </c>
    </row>
    <row r="3" spans="1:10" x14ac:dyDescent="0.25">
      <c r="A3" s="1" t="s">
        <v>8</v>
      </c>
      <c r="B3" s="1"/>
      <c r="C3" s="1" t="s">
        <v>9</v>
      </c>
      <c r="D3" s="1" t="s">
        <v>10</v>
      </c>
      <c r="E3" s="1" t="s">
        <v>11</v>
      </c>
      <c r="F3" s="2">
        <v>-1226.6600000000001</v>
      </c>
    </row>
    <row r="4" spans="1:10" x14ac:dyDescent="0.25">
      <c r="A4" s="1" t="s">
        <v>12</v>
      </c>
      <c r="B4" s="1" t="s">
        <v>13</v>
      </c>
      <c r="C4" s="1">
        <v>95153869</v>
      </c>
      <c r="D4" s="1" t="s">
        <v>14</v>
      </c>
      <c r="E4" s="1" t="s">
        <v>15</v>
      </c>
      <c r="F4" s="2">
        <v>0.16</v>
      </c>
    </row>
    <row r="5" spans="1:10" x14ac:dyDescent="0.25">
      <c r="A5" s="1" t="s">
        <v>12</v>
      </c>
      <c r="B5" s="1" t="s">
        <v>16</v>
      </c>
      <c r="C5" s="1">
        <v>95153869</v>
      </c>
      <c r="D5" s="1" t="s">
        <v>14</v>
      </c>
      <c r="E5" s="1" t="s">
        <v>15</v>
      </c>
      <c r="F5" s="2">
        <v>1.53</v>
      </c>
    </row>
    <row r="6" spans="1:10" x14ac:dyDescent="0.25">
      <c r="A6" s="1" t="s">
        <v>12</v>
      </c>
      <c r="B6" s="1" t="s">
        <v>13</v>
      </c>
      <c r="C6" s="1">
        <v>95153869</v>
      </c>
      <c r="D6" s="1" t="s">
        <v>14</v>
      </c>
      <c r="E6" s="1" t="s">
        <v>15</v>
      </c>
      <c r="F6" s="2">
        <v>0.3</v>
      </c>
    </row>
    <row r="7" spans="1:10" x14ac:dyDescent="0.25">
      <c r="A7" s="1" t="s">
        <v>12</v>
      </c>
      <c r="B7" s="1" t="s">
        <v>16</v>
      </c>
      <c r="C7" s="1">
        <v>95153869</v>
      </c>
      <c r="D7" s="1" t="s">
        <v>14</v>
      </c>
      <c r="E7" s="1" t="s">
        <v>15</v>
      </c>
      <c r="F7" s="2">
        <v>0.57999999999999996</v>
      </c>
    </row>
    <row r="8" spans="1:10" x14ac:dyDescent="0.25">
      <c r="F8" s="4">
        <f>SUM(F1:F7)</f>
        <v>-1219.1000000000001</v>
      </c>
    </row>
    <row r="11" spans="1:10" x14ac:dyDescent="0.25">
      <c r="E11" s="5" t="s">
        <v>18</v>
      </c>
      <c r="F11" s="5">
        <v>643.61</v>
      </c>
      <c r="G11" s="5"/>
      <c r="H11" s="5"/>
      <c r="I11" s="5"/>
      <c r="J11" s="5"/>
    </row>
    <row r="12" spans="1:10" x14ac:dyDescent="0.25">
      <c r="E12" s="5" t="s">
        <v>19</v>
      </c>
      <c r="F12" s="5">
        <v>-1219.0999999999999</v>
      </c>
      <c r="G12" s="5"/>
      <c r="H12" s="5"/>
      <c r="I12" s="5"/>
      <c r="J12" s="5"/>
    </row>
    <row r="13" spans="1:10" x14ac:dyDescent="0.25">
      <c r="E13" s="5" t="s">
        <v>20</v>
      </c>
      <c r="F13" s="5">
        <f>SUM(F11:F12)</f>
        <v>-575.4899999999999</v>
      </c>
      <c r="G13" s="5" t="s">
        <v>17</v>
      </c>
      <c r="H13" s="6">
        <f>SUM(F13*80%)</f>
        <v>-460.39199999999994</v>
      </c>
      <c r="I13" s="5"/>
      <c r="J13" s="5"/>
    </row>
    <row r="14" spans="1:10" x14ac:dyDescent="0.25">
      <c r="E14" s="5"/>
      <c r="F14" s="5" t="s">
        <v>21</v>
      </c>
      <c r="G14" s="5"/>
      <c r="H14" s="6">
        <v>67.97</v>
      </c>
      <c r="I14" s="5"/>
      <c r="J14" s="5"/>
    </row>
    <row r="15" spans="1:10" x14ac:dyDescent="0.25">
      <c r="E15" s="5"/>
      <c r="F15" s="5" t="s">
        <v>22</v>
      </c>
      <c r="G15" s="5"/>
      <c r="H15" s="6">
        <v>-1658.39</v>
      </c>
      <c r="I15" s="5"/>
      <c r="J15" s="5"/>
    </row>
    <row r="16" spans="1:10" x14ac:dyDescent="0.25">
      <c r="E16" s="5"/>
      <c r="F16" s="5" t="s">
        <v>20</v>
      </c>
      <c r="G16" s="5"/>
      <c r="H16" s="6">
        <f>SUM(H13:H15)</f>
        <v>-2050.8119999999999</v>
      </c>
      <c r="I16" s="5"/>
      <c r="J16" s="5"/>
    </row>
    <row r="17" spans="5:10" x14ac:dyDescent="0.25">
      <c r="E17" s="5"/>
      <c r="F17" s="5"/>
      <c r="G17" s="5"/>
      <c r="H17" s="6"/>
      <c r="I17" s="5"/>
      <c r="J17" s="5"/>
    </row>
    <row r="18" spans="5:10" x14ac:dyDescent="0.25">
      <c r="E18" s="5"/>
      <c r="F18" s="5"/>
      <c r="G18" s="5"/>
      <c r="H18" s="5"/>
      <c r="I18" s="5"/>
      <c r="J18" s="5"/>
    </row>
    <row r="19" spans="5:10" x14ac:dyDescent="0.25">
      <c r="E19" s="5"/>
      <c r="F19" s="5"/>
      <c r="G19" s="5"/>
      <c r="H19" s="5"/>
      <c r="I19" s="5"/>
      <c r="J19" s="5"/>
    </row>
    <row r="20" spans="5:10" x14ac:dyDescent="0.25">
      <c r="E20" s="5"/>
      <c r="F20" s="5"/>
      <c r="G20" s="5"/>
      <c r="H20" s="5"/>
      <c r="I20" s="5"/>
      <c r="J20" s="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154ab2e3b22162cded3e05a2c705689e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3b0c3f3005298e0f7f8987a8b68152e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FBB453-7951-45EF-A952-F32199B28417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2.xml><?xml version="1.0" encoding="utf-8"?>
<ds:datastoreItem xmlns:ds="http://schemas.openxmlformats.org/officeDocument/2006/customXml" ds:itemID="{02D38087-9C9D-4959-926F-94FBE56677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0BC373-2ADC-481B-BB9B-B5EE647809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2025-08-06T14:08:05Z</cp:lastPrinted>
  <dcterms:created xsi:type="dcterms:W3CDTF">2025-08-06T14:07:53Z</dcterms:created>
  <dcterms:modified xsi:type="dcterms:W3CDTF">2025-09-19T09:56:25Z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