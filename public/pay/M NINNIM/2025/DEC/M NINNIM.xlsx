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financeplanninggroup.sharepoint.com/Finance/Pay/Scanned BPMI/2025/11 NOVE 2025/"/>
    </mc:Choice>
  </mc:AlternateContent>
  <xr:revisionPtr revIDLastSave="0" documentId="8_{06426FA9-1A35-424D-BF9E-53E7A7B50719}" xr6:coauthVersionLast="47" xr6:coauthVersionMax="47" xr10:uidLastSave="{00000000-0000-0000-0000-000000000000}"/>
  <bookViews>
    <workbookView xWindow="-120" yWindow="-120" windowWidth="29040" windowHeight="15840" xr2:uid="{56448296-3800-439D-85BB-8B5AEEC191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" l="1"/>
</calcChain>
</file>

<file path=xl/sharedStrings.xml><?xml version="1.0" encoding="utf-8"?>
<sst xmlns="http://schemas.openxmlformats.org/spreadsheetml/2006/main" count="95" uniqueCount="50">
  <si>
    <t>SDate</t>
  </si>
  <si>
    <t>Super CR No</t>
  </si>
  <si>
    <t>Agent No</t>
  </si>
  <si>
    <t>Policy No</t>
  </si>
  <si>
    <t>Submission Date</t>
  </si>
  <si>
    <t>Transaction Date</t>
  </si>
  <si>
    <t>Product Code</t>
  </si>
  <si>
    <t>Client Init</t>
  </si>
  <si>
    <t>Client Last Name</t>
  </si>
  <si>
    <t>Commission-Amt</t>
  </si>
  <si>
    <t>Create-Reason</t>
  </si>
  <si>
    <t>8001448</t>
  </si>
  <si>
    <t>8844300</t>
  </si>
  <si>
    <t>0167895465</t>
  </si>
  <si>
    <t>DTA</t>
  </si>
  <si>
    <t>C</t>
  </si>
  <si>
    <t>MORRIS</t>
  </si>
  <si>
    <t>R</t>
  </si>
  <si>
    <t>0169335478</t>
  </si>
  <si>
    <t>LTA</t>
  </si>
  <si>
    <t>D</t>
  </si>
  <si>
    <t>STOPHER</t>
  </si>
  <si>
    <t>0169335486</t>
  </si>
  <si>
    <t>0172349938</t>
  </si>
  <si>
    <t>DTCI</t>
  </si>
  <si>
    <t>J</t>
  </si>
  <si>
    <t>FROSINA</t>
  </si>
  <si>
    <t>0172506271</t>
  </si>
  <si>
    <t>O</t>
  </si>
  <si>
    <t>BERTHOUD</t>
  </si>
  <si>
    <t>0174531608</t>
  </si>
  <si>
    <t>LTCI</t>
  </si>
  <si>
    <t>S</t>
  </si>
  <si>
    <t>LARKIN</t>
  </si>
  <si>
    <t>0180898819</t>
  </si>
  <si>
    <t>A</t>
  </si>
  <si>
    <t>RUSSELL</t>
  </si>
  <si>
    <t>0S02244919</t>
  </si>
  <si>
    <t>IPP2</t>
  </si>
  <si>
    <t>MALONE</t>
  </si>
  <si>
    <t>8981847</t>
  </si>
  <si>
    <t>0S03496419</t>
  </si>
  <si>
    <t>I</t>
  </si>
  <si>
    <t>DOLBY</t>
  </si>
  <si>
    <t>Dolby</t>
  </si>
  <si>
    <t>0S03496427</t>
  </si>
  <si>
    <t>N</t>
  </si>
  <si>
    <t>232965533</t>
  </si>
  <si>
    <t>5833907</t>
  </si>
  <si>
    <t>HHS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</si>
</sst>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£&quot;#,##0.00;[Red]\-&quot;£&quot;#,##0.00"/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2" x14ac:knownFonts="1">
    <font>
      <sz val="11"/>
      <color theme="1"/>
      <name val="Aptos Narrow"/>
      <family val="2"/>
      <scheme val="minor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15" fontId="1" fillId="0" borderId="2" xfId="1" applyNumberFormat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8" fontId="1" fillId="0" borderId="2" xfId="1" applyNumberFormat="1" applyFont="1" applyFill="1" applyBorder="1" applyAlignment="1">
      <alignment horizontal="right" wrapText="1"/>
    </xf>
    <xf numFmtId="0" fontId="1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8" fontId="0" fillId="0" borderId="0" xfId="0" applyNumberFormat="1"/>
  </cellXfs>
  <cellStyles count="2">
    <cellStyle name="Normal" xfId="0" builtinId="0"/>
    <cellStyle name="Normal_Sheet1" xfId="1" xr:uid="{C2E9C986-B5FB-4438-91D2-DD531A84FE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466F3-2429-4271-BBCF-7D6F8ECE2301}">
  <dimension ref="A2:K15"/>
  <sheetViews>
    <sheetView tabSelected="1" workbookViewId="0">
      <selection activeCell="Q14" sqref="Q14"/>
    </sheetView>
  </sheetViews>
  <sheetFormatPr defaultRowHeight="15" x14ac:dyDescent="0.25"/>
  <cols>
    <col min="1" max="1" width="9.42578125" bestFit="1" customWidth="1"/>
    <col min="2" max="2" width="9" bestFit="1" customWidth="1"/>
    <col min="3" max="3" width="8.7109375" bestFit="1" customWidth="1"/>
    <col min="4" max="4" width="15.7109375" customWidth="1"/>
    <col min="5" max="6" width="9.42578125" bestFit="1" customWidth="1"/>
    <col min="7" max="7" width="7.42578125" bestFit="1" customWidth="1"/>
    <col min="8" max="8" width="8.7109375" bestFit="1" customWidth="1"/>
    <col min="9" max="9" width="23.28515625" customWidth="1"/>
    <col min="10" max="10" width="10.7109375" customWidth="1"/>
    <col min="11" max="11" width="7.28515625" bestFit="1" customWidth="1"/>
  </cols>
  <sheetData>
    <row r="2" spans="1:11" s="5" customFormat="1" ht="26.25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</row>
    <row r="3" spans="1:11" x14ac:dyDescent="0.25">
      <c r="A3" s="1">
        <v>45992</v>
      </c>
      <c r="B3" s="2" t="s">
        <v>11</v>
      </c>
      <c r="C3" s="2" t="s">
        <v>12</v>
      </c>
      <c r="D3" s="2" t="s">
        <v>13</v>
      </c>
      <c r="E3" s="1">
        <v>45990</v>
      </c>
      <c r="F3" s="1">
        <v>45992</v>
      </c>
      <c r="G3" s="2" t="s">
        <v>14</v>
      </c>
      <c r="H3" s="2" t="s">
        <v>15</v>
      </c>
      <c r="I3" s="2" t="s">
        <v>16</v>
      </c>
      <c r="J3" s="3">
        <v>0.216</v>
      </c>
      <c r="K3" s="2" t="s">
        <v>17</v>
      </c>
    </row>
    <row r="4" spans="1:11" x14ac:dyDescent="0.25">
      <c r="A4" s="1">
        <v>45992</v>
      </c>
      <c r="B4" s="2" t="s">
        <v>11</v>
      </c>
      <c r="C4" s="2" t="s">
        <v>12</v>
      </c>
      <c r="D4" s="2" t="s">
        <v>18</v>
      </c>
      <c r="E4" s="1">
        <v>45990</v>
      </c>
      <c r="F4" s="1">
        <v>45992</v>
      </c>
      <c r="G4" s="2" t="s">
        <v>19</v>
      </c>
      <c r="H4" s="2" t="s">
        <v>20</v>
      </c>
      <c r="I4" s="2" t="s">
        <v>21</v>
      </c>
      <c r="J4" s="3">
        <v>8.7999999999999995E-2</v>
      </c>
      <c r="K4" s="2" t="s">
        <v>17</v>
      </c>
    </row>
    <row r="5" spans="1:11" x14ac:dyDescent="0.25">
      <c r="A5" s="1">
        <v>45992</v>
      </c>
      <c r="B5" s="2" t="s">
        <v>11</v>
      </c>
      <c r="C5" s="2" t="s">
        <v>12</v>
      </c>
      <c r="D5" s="2" t="s">
        <v>22</v>
      </c>
      <c r="E5" s="1">
        <v>45990</v>
      </c>
      <c r="F5" s="1">
        <v>45992</v>
      </c>
      <c r="G5" s="2" t="s">
        <v>14</v>
      </c>
      <c r="H5" s="2" t="s">
        <v>20</v>
      </c>
      <c r="I5" s="2" t="s">
        <v>21</v>
      </c>
      <c r="J5" s="3">
        <v>0.128</v>
      </c>
      <c r="K5" s="2" t="s">
        <v>17</v>
      </c>
    </row>
    <row r="6" spans="1:11" x14ac:dyDescent="0.25">
      <c r="A6" s="1">
        <v>45992</v>
      </c>
      <c r="B6" s="2" t="s">
        <v>11</v>
      </c>
      <c r="C6" s="2" t="s">
        <v>12</v>
      </c>
      <c r="D6" s="2" t="s">
        <v>23</v>
      </c>
      <c r="E6" s="1">
        <v>45982</v>
      </c>
      <c r="F6" s="1">
        <v>45985</v>
      </c>
      <c r="G6" s="2" t="s">
        <v>24</v>
      </c>
      <c r="H6" s="2" t="s">
        <v>25</v>
      </c>
      <c r="I6" s="2" t="s">
        <v>26</v>
      </c>
      <c r="J6" s="3">
        <v>0.96</v>
      </c>
      <c r="K6" s="2" t="s">
        <v>17</v>
      </c>
    </row>
    <row r="7" spans="1:11" x14ac:dyDescent="0.25">
      <c r="A7" s="1">
        <v>45992</v>
      </c>
      <c r="B7" s="2" t="s">
        <v>11</v>
      </c>
      <c r="C7" s="2" t="s">
        <v>12</v>
      </c>
      <c r="D7" s="2" t="s">
        <v>27</v>
      </c>
      <c r="E7" s="1">
        <v>45982</v>
      </c>
      <c r="F7" s="1">
        <v>45985</v>
      </c>
      <c r="G7" s="2" t="s">
        <v>24</v>
      </c>
      <c r="H7" s="2" t="s">
        <v>28</v>
      </c>
      <c r="I7" s="2" t="s">
        <v>29</v>
      </c>
      <c r="J7" s="3">
        <v>0.34399999999999997</v>
      </c>
      <c r="K7" s="2" t="s">
        <v>17</v>
      </c>
    </row>
    <row r="8" spans="1:11" x14ac:dyDescent="0.25">
      <c r="A8" s="1">
        <v>45992</v>
      </c>
      <c r="B8" s="2" t="s">
        <v>11</v>
      </c>
      <c r="C8" s="2" t="s">
        <v>12</v>
      </c>
      <c r="D8" s="2" t="s">
        <v>30</v>
      </c>
      <c r="E8" s="1">
        <v>45972</v>
      </c>
      <c r="F8" s="1">
        <v>45971</v>
      </c>
      <c r="G8" s="2" t="s">
        <v>31</v>
      </c>
      <c r="H8" s="2" t="s">
        <v>32</v>
      </c>
      <c r="I8" s="2" t="s">
        <v>33</v>
      </c>
      <c r="J8" s="3">
        <v>0.88</v>
      </c>
      <c r="K8" s="2" t="s">
        <v>17</v>
      </c>
    </row>
    <row r="9" spans="1:11" x14ac:dyDescent="0.25">
      <c r="A9" s="1">
        <v>45992</v>
      </c>
      <c r="B9" s="2" t="s">
        <v>11</v>
      </c>
      <c r="C9" s="2" t="s">
        <v>12</v>
      </c>
      <c r="D9" s="2" t="s">
        <v>34</v>
      </c>
      <c r="E9" s="1">
        <v>45990</v>
      </c>
      <c r="F9" s="1">
        <v>45992</v>
      </c>
      <c r="G9" s="2" t="s">
        <v>24</v>
      </c>
      <c r="H9" s="2" t="s">
        <v>35</v>
      </c>
      <c r="I9" s="2" t="s">
        <v>36</v>
      </c>
      <c r="J9" s="3">
        <v>0.432</v>
      </c>
      <c r="K9" s="2" t="s">
        <v>17</v>
      </c>
    </row>
    <row r="10" spans="1:11" x14ac:dyDescent="0.25">
      <c r="A10" s="1">
        <v>45992</v>
      </c>
      <c r="B10" s="2" t="s">
        <v>11</v>
      </c>
      <c r="C10" s="2" t="s">
        <v>12</v>
      </c>
      <c r="D10" s="2" t="s">
        <v>37</v>
      </c>
      <c r="E10" s="1">
        <v>45990</v>
      </c>
      <c r="F10" s="1">
        <v>45992</v>
      </c>
      <c r="G10" s="2" t="s">
        <v>38</v>
      </c>
      <c r="H10" s="2" t="s">
        <v>35</v>
      </c>
      <c r="I10" s="2" t="s">
        <v>39</v>
      </c>
      <c r="J10" s="3">
        <v>0.71199999999999997</v>
      </c>
      <c r="K10" s="2" t="s">
        <v>17</v>
      </c>
    </row>
    <row r="11" spans="1:11" x14ac:dyDescent="0.25">
      <c r="A11" s="1">
        <v>45992</v>
      </c>
      <c r="B11" s="2" t="s">
        <v>11</v>
      </c>
      <c r="C11" s="2" t="s">
        <v>40</v>
      </c>
      <c r="D11" s="2" t="s">
        <v>41</v>
      </c>
      <c r="E11" s="1">
        <v>45994</v>
      </c>
      <c r="F11" s="1">
        <v>45994</v>
      </c>
      <c r="G11" s="2" t="s">
        <v>38</v>
      </c>
      <c r="H11" s="2" t="s">
        <v>42</v>
      </c>
      <c r="I11" s="2" t="s">
        <v>43</v>
      </c>
      <c r="J11" s="3">
        <v>0.248</v>
      </c>
      <c r="K11" s="2" t="s">
        <v>17</v>
      </c>
    </row>
    <row r="12" spans="1:11" x14ac:dyDescent="0.25">
      <c r="A12" s="1">
        <v>45992</v>
      </c>
      <c r="B12" s="2" t="s">
        <v>11</v>
      </c>
      <c r="C12" s="2" t="s">
        <v>40</v>
      </c>
      <c r="D12" s="2" t="s">
        <v>45</v>
      </c>
      <c r="E12" s="1">
        <v>45994</v>
      </c>
      <c r="F12" s="1">
        <v>45994</v>
      </c>
      <c r="G12" s="2" t="s">
        <v>38</v>
      </c>
      <c r="H12" s="2" t="s">
        <v>46</v>
      </c>
      <c r="I12" s="2" t="s">
        <v>43</v>
      </c>
      <c r="J12" s="3">
        <v>0.58399999999999996</v>
      </c>
      <c r="K12" s="2" t="s">
        <v>17</v>
      </c>
    </row>
    <row r="13" spans="1:11" x14ac:dyDescent="0.25">
      <c r="A13" s="1">
        <v>45992</v>
      </c>
      <c r="B13" s="2" t="s">
        <v>11</v>
      </c>
      <c r="C13" s="2" t="s">
        <v>40</v>
      </c>
      <c r="D13" s="2" t="s">
        <v>47</v>
      </c>
      <c r="E13" s="1">
        <v>45994</v>
      </c>
      <c r="F13" s="1">
        <v>45994</v>
      </c>
      <c r="G13" s="2" t="s">
        <v>19</v>
      </c>
      <c r="H13" s="2" t="s">
        <v>42</v>
      </c>
      <c r="I13" s="2" t="s">
        <v>43</v>
      </c>
      <c r="J13" s="3">
        <v>0.99199999999999999</v>
      </c>
      <c r="K13" s="2" t="s">
        <v>17</v>
      </c>
    </row>
    <row r="14" spans="1:11" x14ac:dyDescent="0.25">
      <c r="A14" s="1">
        <v>45992</v>
      </c>
      <c r="B14" s="2" t="s">
        <v>11</v>
      </c>
      <c r="C14" s="2" t="s">
        <v>12</v>
      </c>
      <c r="D14" s="2" t="s">
        <v>48</v>
      </c>
      <c r="E14" s="1">
        <v>45978</v>
      </c>
      <c r="F14" s="1">
        <v>45978</v>
      </c>
      <c r="G14" s="2" t="s">
        <v>49</v>
      </c>
      <c r="H14" s="2" t="s">
        <v>42</v>
      </c>
      <c r="I14" s="2" t="s">
        <v>44</v>
      </c>
      <c r="J14" s="3">
        <v>56.04</v>
      </c>
      <c r="K14" s="2" t="s">
        <v>17</v>
      </c>
    </row>
    <row r="15" spans="1:11" x14ac:dyDescent="0.25">
      <c r="J15" s="6">
        <f>SUM(J3:J14)</f>
        <v>61.623999999999995</v>
      </c>
    </row>
  </sheetData>
  <sortState xmlns:xlrd2="http://schemas.microsoft.com/office/spreadsheetml/2017/richdata2" ref="A3:O14">
    <sortCondition ref="K3:K525" customList="i,x,r"/>
  </sortState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BBCBD49560ED469A57250A44844E06" ma:contentTypeVersion="18" ma:contentTypeDescription="Create a new document." ma:contentTypeScope="" ma:versionID="bc0a633cc053a7ae2b4c8105e1e787e2">
  <xsd:schema xmlns:xsd="http://www.w3.org/2001/XMLSchema" xmlns:xs="http://www.w3.org/2001/XMLSchema" xmlns:p="http://schemas.microsoft.com/office/2006/metadata/properties" xmlns:ns2="6fc629cd-ea53-4e98-b19b-74266bc61294" xmlns:ns3="1ed53f32-24ba-4249-9f66-44ae1cdc9ec1" targetNamespace="http://schemas.microsoft.com/office/2006/metadata/properties" ma:root="true" ma:fieldsID="c20b944c28913ef760ab776c90e79970" ns2:_="" ns3:_="">
    <xsd:import namespace="6fc629cd-ea53-4e98-b19b-74266bc61294"/>
    <xsd:import namespace="1ed53f32-24ba-4249-9f66-44ae1cdc9e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c629cd-ea53-4e98-b19b-74266bc61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6a08dbd-150d-4f07-b603-eb0aaa74ba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d53f32-24ba-4249-9f66-44ae1cdc9ec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816d9e3-56b4-4945-904c-195e8a469186}" ma:internalName="TaxCatchAll" ma:showField="CatchAllData" ma:web="1ed53f32-24ba-4249-9f66-44ae1cdc9e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c629cd-ea53-4e98-b19b-74266bc61294">
      <Terms xmlns="http://schemas.microsoft.com/office/infopath/2007/PartnerControls"/>
    </lcf76f155ced4ddcb4097134ff3c332f>
    <TaxCatchAll xmlns="1ed53f32-24ba-4249-9f66-44ae1cdc9ec1" xsi:nil="true"/>
  </documentManagement>
</p:properties>
</file>

<file path=customXml/itemProps1.xml><?xml version="1.0" encoding="utf-8"?>
<ds:datastoreItem xmlns:ds="http://schemas.openxmlformats.org/officeDocument/2006/customXml" ds:itemID="{EF7590DA-716C-463F-91BA-5B8D0CDC69CE}"/>
</file>

<file path=customXml/itemProps2.xml><?xml version="1.0" encoding="utf-8"?>
<ds:datastoreItem xmlns:ds="http://schemas.openxmlformats.org/officeDocument/2006/customXml" ds:itemID="{1F9EA8C4-2E95-4EDD-9315-FB97E9A5E79A}"/>
</file>

<file path=customXml/itemProps3.xml><?xml version="1.0" encoding="utf-8"?>
<ds:datastoreItem xmlns:ds="http://schemas.openxmlformats.org/officeDocument/2006/customXml" ds:itemID="{89AFB511-E483-42C7-AF1B-46CFFBFCCC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Kirstin Richardson</dc:creator>
  <cp:lastModifiedBy>Kirstin Richardson</cp:lastModifiedBy>
  <cp:lastPrinted>2025-12-04T09:42:50Z</cp:lastPrinted>
  <dcterms:created xsi:type="dcterms:W3CDTF">2025-12-04T09:38:35Z</dcterms:created>
  <dcterms:modified xsi:type="dcterms:W3CDTF">2025-12-04T09:42:58Z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0x0101005ABBCBD49560ED469A57250A44844E06</vt:lpwstr>
  </property>
</Properties>
</file>