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9 SEPT/"/>
    </mc:Choice>
  </mc:AlternateContent>
  <xr:revisionPtr revIDLastSave="14" documentId="8_{AEAE4642-0F6C-46EB-910A-B518C9803E34}" xr6:coauthVersionLast="47" xr6:coauthVersionMax="47" xr10:uidLastSave="{8121571D-54BA-4001-896F-91AB07E2000A}"/>
  <bookViews>
    <workbookView xWindow="-120" yWindow="-120" windowWidth="29040" windowHeight="15840" xr2:uid="{63D46E3A-E6E4-4127-8C85-D32AD3BF6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5" i="1"/>
  <c r="F11" i="1"/>
</calcChain>
</file>

<file path=xl/sharedStrings.xml><?xml version="1.0" encoding="utf-8"?>
<sst xmlns="http://schemas.openxmlformats.org/spreadsheetml/2006/main" count="50" uniqueCount="29">
  <si>
    <t>Mark Ninnim</t>
  </si>
  <si>
    <t>Personal Protection</t>
  </si>
  <si>
    <t>PR000023DTY</t>
  </si>
  <si>
    <t>Zurich</t>
  </si>
  <si>
    <t>Mrs Belinda Ashong</t>
  </si>
  <si>
    <t>PR000023DTX</t>
  </si>
  <si>
    <t>PR000023DTW</t>
  </si>
  <si>
    <t>MARK NINNIM</t>
  </si>
  <si>
    <t>Lifestyle Cover Insurance</t>
  </si>
  <si>
    <t>GALSC0042864</t>
  </si>
  <si>
    <t>Wessex</t>
  </si>
  <si>
    <t>Dolby</t>
  </si>
  <si>
    <t>HOUSE &amp; CONTENTS</t>
  </si>
  <si>
    <t>BPNL31978189</t>
  </si>
  <si>
    <t>Payment Shield</t>
  </si>
  <si>
    <t>Mr Henrik Oldfeldt-Ekeus</t>
  </si>
  <si>
    <t>BPL003XMZ</t>
  </si>
  <si>
    <t>THE EXETER</t>
  </si>
  <si>
    <t>MR NICK PURCELL</t>
  </si>
  <si>
    <t xml:space="preserve">MARK NINNIM </t>
  </si>
  <si>
    <t>Serious illness cover</t>
  </si>
  <si>
    <t>Vitalitylife licence</t>
  </si>
  <si>
    <t>Mr M Ninnim</t>
  </si>
  <si>
    <t>Life cover</t>
  </si>
  <si>
    <t>MULTI</t>
  </si>
  <si>
    <t>*80%</t>
  </si>
  <si>
    <t>L REN</t>
  </si>
  <si>
    <t>CARRIED OVER FROM LAST MONTH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</si>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</sst>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0" borderId="1" xfId="1" applyNumberFormat="1" applyFont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FE5E-CCD8-483C-8830-E3BE7505C8AA}">
  <dimension ref="A1:J26"/>
  <sheetViews>
    <sheetView tabSelected="1" workbookViewId="0">
      <selection activeCell="J23" sqref="J23"/>
    </sheetView>
  </sheetViews>
  <sheetFormatPr defaultRowHeight="15" x14ac:dyDescent="0.25"/>
  <cols>
    <col min="1" max="1" width="14" bestFit="1" customWidth="1"/>
    <col min="2" max="2" width="23" bestFit="1" customWidth="1"/>
    <col min="3" max="3" width="13.7109375" bestFit="1" customWidth="1"/>
    <col min="4" max="4" width="16.5703125" bestFit="1" customWidth="1"/>
    <col min="5" max="5" width="23.140625" bestFit="1" customWidth="1"/>
    <col min="6" max="6" width="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237.3</v>
      </c>
    </row>
    <row r="2" spans="1:10" x14ac:dyDescent="0.25">
      <c r="A2" s="1" t="s">
        <v>0</v>
      </c>
      <c r="B2" s="1" t="s">
        <v>1</v>
      </c>
      <c r="C2" s="1" t="s">
        <v>5</v>
      </c>
      <c r="D2" s="1" t="s">
        <v>3</v>
      </c>
      <c r="E2" s="1" t="s">
        <v>4</v>
      </c>
      <c r="F2" s="2">
        <v>299.22000000000003</v>
      </c>
    </row>
    <row r="3" spans="1:10" x14ac:dyDescent="0.25">
      <c r="A3" s="1" t="s">
        <v>0</v>
      </c>
      <c r="B3" s="1" t="s">
        <v>1</v>
      </c>
      <c r="C3" s="1" t="s">
        <v>6</v>
      </c>
      <c r="D3" s="1" t="s">
        <v>3</v>
      </c>
      <c r="E3" s="1" t="s">
        <v>4</v>
      </c>
      <c r="F3" s="2">
        <v>849.22</v>
      </c>
    </row>
    <row r="4" spans="1:10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3">
        <v>3.99</v>
      </c>
    </row>
    <row r="5" spans="1:10" x14ac:dyDescent="0.25">
      <c r="A5" s="1" t="s">
        <v>0</v>
      </c>
      <c r="B5" s="1" t="s">
        <v>12</v>
      </c>
      <c r="C5" s="1" t="s">
        <v>13</v>
      </c>
      <c r="D5" s="1" t="s">
        <v>14</v>
      </c>
      <c r="E5" s="1" t="s">
        <v>15</v>
      </c>
      <c r="F5" s="2">
        <v>185.61</v>
      </c>
    </row>
    <row r="6" spans="1:10" x14ac:dyDescent="0.25">
      <c r="A6" s="1" t="s">
        <v>7</v>
      </c>
      <c r="B6" s="1"/>
      <c r="C6" s="1" t="s">
        <v>16</v>
      </c>
      <c r="D6" s="1" t="s">
        <v>17</v>
      </c>
      <c r="E6" s="1" t="s">
        <v>18</v>
      </c>
      <c r="F6" s="2">
        <v>1</v>
      </c>
    </row>
    <row r="7" spans="1:10" x14ac:dyDescent="0.25">
      <c r="A7" s="1" t="s">
        <v>19</v>
      </c>
      <c r="B7" s="1" t="s">
        <v>20</v>
      </c>
      <c r="C7" s="1">
        <v>95153869</v>
      </c>
      <c r="D7" s="1" t="s">
        <v>21</v>
      </c>
      <c r="E7" s="1" t="s">
        <v>22</v>
      </c>
      <c r="F7" s="2">
        <v>0.57999999999999996</v>
      </c>
    </row>
    <row r="8" spans="1:10" x14ac:dyDescent="0.25">
      <c r="A8" s="1" t="s">
        <v>19</v>
      </c>
      <c r="B8" s="1" t="s">
        <v>20</v>
      </c>
      <c r="C8" s="1">
        <v>95153869</v>
      </c>
      <c r="D8" s="1" t="s">
        <v>21</v>
      </c>
      <c r="E8" s="1" t="s">
        <v>22</v>
      </c>
      <c r="F8" s="2">
        <v>1.53</v>
      </c>
    </row>
    <row r="9" spans="1:10" x14ac:dyDescent="0.25">
      <c r="A9" s="1" t="s">
        <v>19</v>
      </c>
      <c r="B9" s="1" t="s">
        <v>23</v>
      </c>
      <c r="C9" s="1">
        <v>95153869</v>
      </c>
      <c r="D9" s="1" t="s">
        <v>21</v>
      </c>
      <c r="E9" s="1" t="s">
        <v>22</v>
      </c>
      <c r="F9" s="2">
        <v>0.3</v>
      </c>
    </row>
    <row r="10" spans="1:10" x14ac:dyDescent="0.25">
      <c r="A10" s="1" t="s">
        <v>19</v>
      </c>
      <c r="B10" s="1" t="s">
        <v>23</v>
      </c>
      <c r="C10" s="1">
        <v>95153869</v>
      </c>
      <c r="D10" s="1" t="s">
        <v>21</v>
      </c>
      <c r="E10" s="1" t="s">
        <v>22</v>
      </c>
      <c r="F10" s="2">
        <v>0.16</v>
      </c>
    </row>
    <row r="11" spans="1:10" x14ac:dyDescent="0.25">
      <c r="F11" s="4">
        <f>SUM(F1:F10)</f>
        <v>1578.91</v>
      </c>
    </row>
    <row r="14" spans="1:10" x14ac:dyDescent="0.25">
      <c r="E14" s="5"/>
      <c r="F14" s="5"/>
      <c r="G14" s="5"/>
      <c r="H14" s="5"/>
      <c r="I14" s="5"/>
      <c r="J14" s="5"/>
    </row>
    <row r="15" spans="1:10" x14ac:dyDescent="0.25">
      <c r="E15" s="5" t="s">
        <v>24</v>
      </c>
      <c r="F15" s="5">
        <v>1578.91</v>
      </c>
      <c r="G15" s="5" t="s">
        <v>25</v>
      </c>
      <c r="H15" s="6">
        <f>SUM(F15*80%)</f>
        <v>1263.1280000000002</v>
      </c>
      <c r="I15" s="5"/>
      <c r="J15" s="5"/>
    </row>
    <row r="16" spans="1:10" x14ac:dyDescent="0.25">
      <c r="E16" s="5"/>
      <c r="F16" s="5" t="s">
        <v>26</v>
      </c>
      <c r="G16" s="5"/>
      <c r="H16" s="6">
        <v>5.15</v>
      </c>
      <c r="I16" s="5"/>
      <c r="J16" s="5"/>
    </row>
    <row r="17" spans="5:10" x14ac:dyDescent="0.25">
      <c r="E17" s="5"/>
      <c r="F17" s="5" t="s">
        <v>27</v>
      </c>
      <c r="G17" s="5"/>
      <c r="H17" s="6">
        <v>-1329.63</v>
      </c>
      <c r="I17" s="5"/>
      <c r="J17" s="5"/>
    </row>
    <row r="18" spans="5:10" x14ac:dyDescent="0.25">
      <c r="E18" s="5"/>
      <c r="F18" s="5" t="s">
        <v>28</v>
      </c>
      <c r="G18" s="5"/>
      <c r="H18" s="6">
        <f>SUM(H15:H17)</f>
        <v>-61.351999999999862</v>
      </c>
      <c r="I18" s="5"/>
      <c r="J18" s="5"/>
    </row>
    <row r="19" spans="5:10" x14ac:dyDescent="0.25">
      <c r="E19" s="5"/>
      <c r="F19" s="5"/>
      <c r="G19" s="5"/>
      <c r="H19" s="6"/>
      <c r="I19" s="5"/>
      <c r="J19" s="5"/>
    </row>
    <row r="20" spans="5:10" x14ac:dyDescent="0.25">
      <c r="E20" s="5"/>
      <c r="F20" s="5"/>
      <c r="G20" s="5"/>
      <c r="H20" s="6"/>
      <c r="I20" s="5"/>
      <c r="J20" s="5"/>
    </row>
    <row r="21" spans="5:10" x14ac:dyDescent="0.25">
      <c r="E21" s="5"/>
      <c r="F21" s="5"/>
      <c r="G21" s="5"/>
      <c r="H21" s="6"/>
      <c r="I21" s="5"/>
      <c r="J21" s="5"/>
    </row>
    <row r="22" spans="5:10" x14ac:dyDescent="0.25">
      <c r="E22" s="5"/>
      <c r="F22" s="5"/>
      <c r="G22" s="5"/>
      <c r="H22" s="6"/>
      <c r="I22" s="5"/>
      <c r="J22" s="5"/>
    </row>
    <row r="23" spans="5:10" x14ac:dyDescent="0.25">
      <c r="E23" s="5"/>
      <c r="F23" s="5"/>
      <c r="G23" s="5"/>
      <c r="H23" s="6"/>
      <c r="I23" s="5"/>
      <c r="J23" s="5"/>
    </row>
    <row r="24" spans="5:10" x14ac:dyDescent="0.25">
      <c r="E24" s="5"/>
      <c r="F24" s="5"/>
      <c r="G24" s="5"/>
      <c r="H24" s="5"/>
      <c r="I24" s="5"/>
      <c r="J24" s="5"/>
    </row>
    <row r="25" spans="5:10" x14ac:dyDescent="0.25">
      <c r="E25" s="5"/>
      <c r="F25" s="5"/>
      <c r="G25" s="5"/>
      <c r="H25" s="5"/>
      <c r="I25" s="5"/>
      <c r="J25" s="5"/>
    </row>
    <row r="26" spans="5:10" x14ac:dyDescent="0.25">
      <c r="E26" s="5"/>
      <c r="F26" s="5"/>
      <c r="G26" s="5"/>
      <c r="H26" s="5"/>
      <c r="I26" s="5"/>
      <c r="J26" s="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60C4ED26-D6E0-4D9C-9734-0C1F8C1E97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2E386-AC1A-418A-BA62-823B29E82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2C51F0-6EC7-4C9F-8C76-602129BDF631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2025-10-06T12:41:59Z</cp:lastPrinted>
  <dcterms:created xsi:type="dcterms:W3CDTF">2025-10-06T12:41:42Z</dcterms:created>
  <dcterms:modified xsi:type="dcterms:W3CDTF">2025-10-07T10:59:06Z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